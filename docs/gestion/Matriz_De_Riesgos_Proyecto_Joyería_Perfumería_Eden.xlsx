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0" sheetId="1" r:id="rId5"/>
    <sheet state="visible" name="Sheet1" sheetId="2" r:id="rId6"/>
    <sheet state="visible" name="Sheet2" sheetId="3" r:id="rId7"/>
    <sheet state="visible" name="Sheet5" sheetId="4" r:id="rId8"/>
    <sheet state="visible" name="Sheet6" sheetId="5" r:id="rId9"/>
  </sheets>
  <definedNames/>
  <calcPr/>
</workbook>
</file>

<file path=xl/sharedStrings.xml><?xml version="1.0" encoding="utf-8"?>
<sst xmlns="http://schemas.openxmlformats.org/spreadsheetml/2006/main" count="294" uniqueCount="141">
  <si>
    <t>RIESGOS PARA EL PROYECTO JOYERÍA Y PERFUMERÍA EDEN</t>
  </si>
  <si>
    <t>ID</t>
  </si>
  <si>
    <t>Identificador del Riesgo</t>
  </si>
  <si>
    <t>Título</t>
  </si>
  <si>
    <t>Descripción del Riesgo</t>
  </si>
  <si>
    <t>Categoría</t>
  </si>
  <si>
    <t>Probabilidad de ocurrencia</t>
  </si>
  <si>
    <t>Impacto</t>
  </si>
  <si>
    <t>Escala de probabilidad</t>
  </si>
  <si>
    <t>Código</t>
  </si>
  <si>
    <t>Riesgo</t>
  </si>
  <si>
    <t>Dirección</t>
  </si>
  <si>
    <t>R-01</t>
  </si>
  <si>
    <t>Baja o falta de disponibilidad por parte del administrador</t>
  </si>
  <si>
    <t>R-02</t>
  </si>
  <si>
    <t>Cambios de alcance a mitad de proyecto</t>
  </si>
  <si>
    <t>Gerencia de proyectos</t>
  </si>
  <si>
    <t>El administrador de la organización, como patrocinador del proyecto, no dispone del tiempo necesario para validar entregables y resolver consultas, lo que retrasa la toma de decisiones y la aprobación de requerimientos.</t>
  </si>
  <si>
    <t>Muy alta  [81% - 100%]</t>
  </si>
  <si>
    <t>R-03</t>
  </si>
  <si>
    <t>Estimación inadecuada del tiempo asignado para cada tarea.</t>
  </si>
  <si>
    <t>Moderada</t>
  </si>
  <si>
    <t>R-04</t>
  </si>
  <si>
    <t>Controles de calidad y documentación insuficientes</t>
  </si>
  <si>
    <t>Técnicos</t>
  </si>
  <si>
    <t>R-05</t>
  </si>
  <si>
    <t>Incompatibilidad tecnológica.</t>
  </si>
  <si>
    <t>Alto [61% - 80%]</t>
  </si>
  <si>
    <t>Alto</t>
  </si>
  <si>
    <t>R-06</t>
  </si>
  <si>
    <t>Pérdida del código o de información del proyecto.</t>
  </si>
  <si>
    <t>Funcionales</t>
  </si>
  <si>
    <t>R-07</t>
  </si>
  <si>
    <t>Moderado [41% - 60%]</t>
  </si>
  <si>
    <t>Criterios de aceptación no definidos</t>
  </si>
  <si>
    <t>R-08</t>
  </si>
  <si>
    <t>Integración, validación y cobertura funcional deficientes</t>
  </si>
  <si>
    <t>Cambios de alcance a mitad del proyecto</t>
  </si>
  <si>
    <t>Recursos</t>
  </si>
  <si>
    <t>Baja [21% - 40%]</t>
  </si>
  <si>
    <t>La organización solicita nuevos requerimientos o modificaciones a los ya aprobados durante la ejecución del proyecto, sin un proceso formal de control de cambios que evalúe su impacto, lo que genera reprocesos en funcionalidades ya desarrolladas, aumenta la carga de trabajo del equipo y provoca desviaciones en el cronograma.</t>
  </si>
  <si>
    <t>R-09</t>
  </si>
  <si>
    <t>Retraso en el pago al proveedor de herramientas de trabajo</t>
  </si>
  <si>
    <t>FACTOR DEL RIESGO (PROBABILIDAD X IMPACTO )</t>
  </si>
  <si>
    <t>R-10</t>
  </si>
  <si>
    <t>Incumplimiento de responsabilidades del equipo</t>
  </si>
  <si>
    <t>Organizacionales</t>
  </si>
  <si>
    <t>R-11</t>
  </si>
  <si>
    <t>Comunicación deficiente entre el equipo y el cliente</t>
  </si>
  <si>
    <t>R-12</t>
  </si>
  <si>
    <t>Estimación inadecuada del tiempo asignado para cada tarea</t>
  </si>
  <si>
    <t>Cambios en el personal o en la administración de la organización durante el desarrollo del proyecto</t>
  </si>
  <si>
    <t>La duración y el esfuerzo de las tareas se subestiman durante la planificación por falta de experiencia del equipo o de información suficiente, lo que ocasiona retrasos en su ejecución y el incumplimiento de las fechas de entrega establecidas.</t>
  </si>
  <si>
    <t>Gerencia de Proyectos</t>
  </si>
  <si>
    <t>Alta</t>
  </si>
  <si>
    <t>Moderado</t>
  </si>
  <si>
    <t>No se realizan revisiones de código, pruebas ni documentación durante el desarrollo, lo que provoca la acumulación de defectos detectados tardíamente y dificulta la continuidad del trabajo ante ausencias o reasignación de tareas.</t>
  </si>
  <si>
    <t>Incompatibilidad tecnológica</t>
  </si>
  <si>
    <t>Las versiones de lenguajes, frameworks, librerías o sistemas operativos utilizados por los integrantes no son compatibles entre sí, lo que genera errores de ejecución y retrasos en la integración del código.</t>
  </si>
  <si>
    <t>Técnico</t>
  </si>
  <si>
    <t>Baja</t>
  </si>
  <si>
    <t>Pérdida del código o de información del proyecto</t>
  </si>
  <si>
    <t>El código fuente o la base de datos se pierden por fallas de hardware o eliminación accidental, sin control de versiones ni copias de seguridad que permitan restaurarlos.</t>
  </si>
  <si>
    <t>Muy baja</t>
  </si>
  <si>
    <t>Muy alto</t>
  </si>
  <si>
    <t>No se establecen criterios claros para determinar cuándo una funcionalidad cumple lo esperado, lo que genera desacuerdos con la organización al momento de la entrega.</t>
  </si>
  <si>
    <t>Funcional</t>
  </si>
  <si>
    <t>Se presentan fallas en la integración entre los módulos del sistema, validaciones insuficientes en el ingreso de datos y funcionalidades esenciales sin implementar, lo que genera errores en el procesamiento de la información y un sistema que no cubre adecuadamente las necesidades de la organización.</t>
  </si>
  <si>
    <t>Muy bajo [10% - 20%]</t>
  </si>
  <si>
    <t xml:space="preserve">Probabilidad de Ocurrencia </t>
  </si>
  <si>
    <t>La falta o el retraso en el pago de las herramientas requeridas para el desarrollo, como licencias de entornos de desarrollo (IDE), suscripciones a agentes de inteligencia artificial, servicios de hosting y equipos de cómputo, provoca la suspensión o limitación de su uso, lo que reduce la productividad del equipo y retrasa el cronograma del proyecto.</t>
  </si>
  <si>
    <t xml:space="preserve">Impacto </t>
  </si>
  <si>
    <t>Uno o más integrantes del equipo no cumplen las tareas y responsabilidades asignadas, lo que sobrecarga al resto, retrasa los entregables y compromete el cronograma del proyecto.</t>
  </si>
  <si>
    <t>La comunicación entre los integrantes del equipo y con el administrador de la organización no es efectiva ni asertiva, especialmente en las reuniones diarias (daily), donde no se informa con claridad el avance de las tareas, los impedimentos ni las dudas sobre los requerimientos, lo que provoca malentendidos, trabajo duplicado, retrasos en la resolución de problemas y decisiones tomadas sin consenso.</t>
  </si>
  <si>
    <t>Organizacional</t>
  </si>
  <si>
    <t>Rotación de empleados, cambio de administrador o reorganización interna del negocio mientras el proyecto está en ejecución, lo que obliga a establecer nuevos interlocutores con el equipo de desarrollo, puede modificar las prioridades y los requerimientos previamente acordados, y genera reprocesos en funcionalidades ya validadas. Además, el nuevo personal podría desconocer los acuerdos realizados, lo que retrasa la toma de decisiones y dificulta la validación de los entregables.</t>
  </si>
  <si>
    <t>4.5% aprox 5%</t>
  </si>
  <si>
    <t>Factor del Riesgo</t>
  </si>
  <si>
    <t>Técnica de respuesta</t>
  </si>
  <si>
    <t>Plan de Acción frente al riesgo</t>
  </si>
  <si>
    <t>Responsable del Riesgo</t>
  </si>
  <si>
    <t>Mitigar</t>
  </si>
  <si>
    <t>Acordar desde el inicio un calendario fijo de reuniones de validación con el administrador (al cierre de cada sprint), enviarle los entregables con al menos dos días de anticipación, fijar un plazo máximo de respuesta y pedir que designe un suplente con autoridad para aprobar cuando él no pueda.</t>
  </si>
  <si>
    <t>Analista</t>
  </si>
  <si>
    <t>Implementar un proceso formal de control de cambios: toda solicitud nueva se registra en el backlog, el equipo estima su impacto en tiempo y esfuerzo, y solo se incluye en un sprint futuro después de que el cliente y el equipo la aprueben por escrito. El alcance del sprint en curso no se modifica.</t>
  </si>
  <si>
    <t>Escala de impacto</t>
  </si>
  <si>
    <t xml:space="preserve">Fracaso del proyecto </t>
  </si>
  <si>
    <t>Estimar las tareas en conjunto mediante planning poker, dividir las historias grandes en subtareas pequeñas y al cerrar cada sprint, comparar el tiempo estimado con el real para ajustar las siguientes estimaciones.</t>
  </si>
  <si>
    <t>3.5% aprox 4%</t>
  </si>
  <si>
    <t>Evitar</t>
  </si>
  <si>
    <t>Acordar como regla del equipo que ninguna tarea se da por terminada hasta que otro integrante revise el código, se pruebe que la funcionalidad funciona correctamente y se deje documentado qué hace y cómo se usa.</t>
  </si>
  <si>
    <t>Tester</t>
  </si>
  <si>
    <t>Seguimiento al riesgo (EN EJECUCIÓN DEL PROYECTO)</t>
  </si>
  <si>
    <t>Acordar desde el inicio del proyecto qué programas y versiones va a usar todo el equipo (lenguaje de programación, herramientas y base de datos), dejarlo escrito en un documento compartido y verificar que todos los integrantes los tengan instalados de la misma forma antes de empezar a programar.</t>
  </si>
  <si>
    <t>Desarrollador</t>
  </si>
  <si>
    <t>Transferencia</t>
  </si>
  <si>
    <t>Guardar el código del proyecto en GitHub y la base de datos en un servicio en la nube que haga copias de seguridad automáticas, para que la información no dependa del computador de ningún integrante y, si algo se daña o se borra, se pueda recuperar.</t>
  </si>
  <si>
    <t>Por encima del presupuesto entre un 60% y 90%</t>
  </si>
  <si>
    <t>Fecha Definición</t>
  </si>
  <si>
    <t>Fecha estimada cumplimiento</t>
  </si>
  <si>
    <t>2.5% aprox 3%</t>
  </si>
  <si>
    <t>Estado</t>
  </si>
  <si>
    <t>Fecha de cumplimiento</t>
  </si>
  <si>
    <t>Redactar criterios de aceptación para cada historia de usuario (formato Dado / Cuando / Entonces) y validarlos con el administrador de la joyería antes de comenzar su desarrollo, dejando constancia de la aprobación.</t>
  </si>
  <si>
    <t>Realizar pruebas de integración cada vez que se une código a la rama principal, aplicar validaciones de datos tanto en el frontend como en el backend y revisar en cada sprint una matriz de trazabilidad entre requerimientos y funcionalidades implementadas.</t>
  </si>
  <si>
    <t>24/09/2026</t>
  </si>
  <si>
    <t>15/10/2026</t>
  </si>
  <si>
    <t>Priorizar herramientas gratuitas o con licencia educativa (GitHub Student Developer Pack, licencias académicas de IDE, planes gratuitos de hosting) para eliminar la dependencia de pagos durante el desarrollo.</t>
  </si>
  <si>
    <t>En proceso</t>
  </si>
  <si>
    <t>Asignar cada tarea con responsable y fecha en el tablero del proyecto, revisar su avance en la daily, establecer acuerdos de equipo que indiquen cómo se redistribuye el trabajo ante un incumplimiento y asignar las tareas críticas a parejas.</t>
  </si>
  <si>
    <t>—</t>
  </si>
  <si>
    <t>Estructurar la daily con tres preguntas fijas (qué hice, qué haré, qué me bloquea), registrar en un acta los acuerdos de cada reunión y definir un único canal oficial de comunicación con el cliente, con un resumen semanal del avance.</t>
  </si>
  <si>
    <t>Por encima del presupuesto entre un 30% y 60%</t>
  </si>
  <si>
    <t>Bajo</t>
  </si>
  <si>
    <t>1.5% aprox 2%</t>
  </si>
  <si>
    <t>Mantener documentados y accesibles para el cliente los requerimientos aprobados, las actas y los acuerdos firmados, de forma que ante un cambio de interlocutor se realice una reunión de empalme y se conserve lo ya validado.</t>
  </si>
  <si>
    <t>30/09/2026</t>
  </si>
  <si>
    <t>Cerrado</t>
  </si>
  <si>
    <t>factor de riesgo</t>
  </si>
  <si>
    <t>tecnica de respuesta</t>
  </si>
  <si>
    <t xml:space="preserve">plan de accion </t>
  </si>
  <si>
    <t>Responsable del riesgo</t>
  </si>
  <si>
    <t>21%-35%</t>
  </si>
  <si>
    <t>mitigar</t>
  </si>
  <si>
    <t>Reducir la probabilidad y el impacto con controles permanentes: calendario fijo de validaciones con el administrador, control formal de cambios por escrito, estimación conjunta con planning poker, pruebas de integración y validaciones de datos, tareas con responsable y fecha, y dailies estructuradas con actas.</t>
  </si>
  <si>
    <t>15/09/2026</t>
  </si>
  <si>
    <t>Equipo de desarrollo</t>
  </si>
  <si>
    <t>Por encima del presupuesto entre un 10% y 30%</t>
  </si>
  <si>
    <t>Muy bajo</t>
  </si>
  <si>
    <t>0.5% aprox 1%</t>
  </si>
  <si>
    <t>12%-20%</t>
  </si>
  <si>
    <t>21/09/2026</t>
  </si>
  <si>
    <t>evitar</t>
  </si>
  <si>
    <t>Abierto</t>
  </si>
  <si>
    <t>Eliminar la causa del riesgo desde el inicio:  con revisión de código y documentación mínima, versiones y entorno de desarrollo unificados, criterios de aceptación aprobados por el cliente y uso de herramientas gratuitas o educativas.</t>
  </si>
  <si>
    <t>analista</t>
  </si>
  <si>
    <t>transferencia</t>
  </si>
  <si>
    <t>Trasladar la gestión o las consecuencias del riesgo a un tercero (proveedor o servicio externo) que asuma su custodia o responsabilidad.</t>
  </si>
  <si>
    <t>Mantener documentados y accesibles los requerimientos, actas y acuerdos firmados, y hacer una reunión de empalme si cambia el interlocutor del cliente.</t>
  </si>
  <si>
    <t xml:space="preserve">Ningun impacto real </t>
  </si>
  <si>
    <t xml:space="preserve">Muy Bajo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</si>
</sst>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3">
    <font>
      <sz val="10.0"/>
      <color rgb="FF000000"/>
      <name val="Arial"/>
      <scheme val="minor"/>
    </font>
    <font>
      <sz val="11.0"/>
      <color rgb="FF000000"/>
      <name val="Arial"/>
    </font>
    <font>
      <color theme="1"/>
      <name val="Arial"/>
      <scheme val="minor"/>
    </font>
    <font>
      <b/>
      <sz val="11.0"/>
      <color theme="1"/>
      <name val="Arial"/>
    </font>
    <font>
      <b/>
      <color theme="1"/>
      <name val="Arial"/>
      <scheme val="minor"/>
    </font>
    <font>
      <color theme="1"/>
      <name val="Arial"/>
    </font>
    <font/>
    <font>
      <color rgb="FF000000"/>
      <name val="Arial"/>
    </font>
    <font>
      <b/>
      <sz val="12.0"/>
      <color theme="1"/>
      <name val="Arial"/>
    </font>
    <font>
      <sz val="11.0"/>
      <color theme="1"/>
      <name val="Arial"/>
    </font>
    <font>
      <b/>
      <sz val="11.0"/>
      <color rgb="FFFFFFFF"/>
      <name val="Arial"/>
    </font>
    <font>
      <b/>
      <sz val="11.0"/>
      <color rgb="FF000000"/>
      <name val="Arial"/>
    </font>
    <font>
      <sz val="11.0"/>
      <color theme="1"/>
      <name val="Arial"/>
      <scheme val="minor"/>
    </font>
  </fonts>
  <fills count="11">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rgb="FFB7B7B7"/>
        <bgColor rgb="FFB7B7B7"/>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FCE8B2"/>
        <bgColor rgb="FFFCE8B2"/>
      </patternFill>
    </fill>
    <fill>
      <patternFill patternType="solid">
        <fgColor rgb="FFB7E1CD"/>
        <bgColor rgb="FFB7E1CD"/>
      </patternFill>
    </fill>
    <fill>
      <patternFill patternType="solid">
        <fgColor rgb="FFF4C7C3"/>
        <bgColor rgb="FFF4C7C3"/>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readingOrder="0"/>
    </xf>
    <xf borderId="0" fillId="0" fontId="2" numFmtId="0" xfId="0" applyAlignment="1" applyFont="1">
      <alignment readingOrder="0"/>
    </xf>
    <xf borderId="1" fillId="0" fontId="2" numFmtId="0" xfId="0" applyBorder="1" applyFont="1"/>
    <xf borderId="1" fillId="2" fontId="3" numFmtId="0" xfId="0" applyAlignment="1" applyBorder="1" applyFill="1" applyFont="1">
      <alignment horizontal="center" readingOrder="0"/>
    </xf>
    <xf borderId="0" fillId="0" fontId="4" numFmtId="0" xfId="0" applyAlignment="1" applyFont="1">
      <alignment horizontal="center" shrinkToFit="0" vertical="top" wrapText="1"/>
    </xf>
    <xf borderId="0" fillId="0" fontId="2" numFmtId="0" xfId="0" applyAlignment="1" applyFont="1">
      <alignment shrinkToFit="0" vertical="top" wrapText="1"/>
    </xf>
    <xf borderId="1" fillId="2" fontId="1" numFmtId="0" xfId="0" applyAlignment="1" applyBorder="1" applyFill="1" applyFont="1">
      <alignment horizontal="center" readingOrder="0" shrinkToFit="0" wrapText="1"/>
    </xf>
    <xf borderId="2" fillId="0" fontId="2" numFmtId="0" xfId="0" applyAlignment="1" applyBorder="1" applyFont="1">
      <alignment readingOrder="0" vertical="top"/>
    </xf>
    <xf borderId="2" fillId="0" fontId="1" numFmtId="0" xfId="0" applyAlignment="1" applyBorder="1" applyFont="1">
      <alignment horizontal="left" readingOrder="0" shrinkToFit="0" wrapText="1"/>
    </xf>
    <xf borderId="1" fillId="0" fontId="5" numFmtId="0" xfId="0" applyAlignment="1" applyBorder="1" applyFont="1">
      <alignment horizontal="center" readingOrder="0" shrinkToFit="0" vertical="top" wrapText="1"/>
    </xf>
    <xf borderId="1" fillId="0" fontId="1" numFmtId="0" xfId="0" applyAlignment="1" applyBorder="1" applyFont="1">
      <alignment horizontal="left" readingOrder="0" shrinkToFit="0" wrapText="1"/>
    </xf>
    <xf borderId="1" fillId="0" fontId="2" numFmtId="0" xfId="0" applyAlignment="1" applyBorder="1" applyFont="1">
      <alignment readingOrder="0"/>
    </xf>
    <xf borderId="3" fillId="0" fontId="6" numFmtId="0" xfId="0" applyBorder="1" applyFont="1"/>
    <xf borderId="1" fillId="0" fontId="5" numFmtId="0" xfId="0" applyAlignment="1" applyBorder="1" applyFont="1">
      <alignment horizontal="left" readingOrder="0" shrinkToFit="0" vertical="top" wrapText="1"/>
    </xf>
    <xf borderId="4" fillId="0" fontId="6" numFmtId="0" xfId="0" applyBorder="1" applyFont="1"/>
    <xf borderId="1" fillId="3" fontId="5" numFmtId="0" xfId="0" applyAlignment="1" applyBorder="1" applyFill="1" applyFont="1">
      <alignment horizontal="center" readingOrder="0" shrinkToFit="0" vertical="top" wrapText="1"/>
    </xf>
    <xf borderId="1" fillId="0" fontId="5" numFmtId="0" xfId="0" applyAlignment="1" applyBorder="1" applyFont="1">
      <alignment readingOrder="0" shrinkToFit="0" vertical="top" wrapText="1"/>
    </xf>
    <xf borderId="0" fillId="0" fontId="2" numFmtId="0" xfId="0" applyAlignment="1" applyFont="1">
      <alignment horizontal="left"/>
    </xf>
    <xf borderId="5" fillId="4" fontId="2" numFmtId="0" xfId="0" applyAlignment="1" applyBorder="1" applyFill="1" applyFont="1">
      <alignment horizontal="center" readingOrder="0"/>
    </xf>
    <xf borderId="6" fillId="0" fontId="6" numFmtId="0" xfId="0" applyBorder="1" applyFont="1"/>
    <xf borderId="7" fillId="0" fontId="6" numFmtId="0" xfId="0" applyBorder="1" applyFont="1"/>
    <xf borderId="1" fillId="4" fontId="2" numFmtId="0" xfId="0" applyAlignment="1" applyBorder="1" applyFill="1" applyFont="1">
      <alignment readingOrder="0"/>
    </xf>
    <xf borderId="1" fillId="4" fontId="2" numFmtId="9" xfId="0" applyAlignment="1" applyBorder="1" applyFill="1" applyFont="1" applyNumberFormat="1">
      <alignment readingOrder="0"/>
    </xf>
    <xf borderId="1" fillId="5" fontId="2" numFmtId="0" xfId="0" applyAlignment="1" applyBorder="1" applyFill="1" applyFont="1">
      <alignment readingOrder="0"/>
    </xf>
    <xf borderId="0" fillId="0" fontId="7" numFmtId="0" xfId="0" applyAlignment="1" applyFont="1">
      <alignment shrinkToFit="0" vertical="bottom" wrapText="0"/>
    </xf>
    <xf borderId="5" fillId="0" fontId="8" numFmtId="0" xfId="0" applyAlignment="1" applyBorder="1" applyFont="1">
      <alignment horizontal="center" readingOrder="0"/>
    </xf>
    <xf borderId="1" fillId="6" fontId="2" numFmtId="164" xfId="0" applyBorder="1" applyFill="1" applyFont="1" applyNumberFormat="1"/>
    <xf borderId="0" fillId="0" fontId="7" numFmtId="0" xfId="0" applyAlignment="1" applyFont="1">
      <alignment shrinkToFit="0" vertical="top" wrapText="1"/>
    </xf>
    <xf borderId="1" fillId="0" fontId="9" numFmtId="0" xfId="0" applyAlignment="1" applyBorder="1" applyFont="1">
      <alignment horizontal="center" readingOrder="0" shrinkToFit="0" vertical="top" wrapText="1"/>
    </xf>
    <xf borderId="1" fillId="7" fontId="10" numFmtId="9" xfId="0" applyAlignment="1" applyBorder="1" applyFill="1" applyFont="1" applyNumberFormat="1">
      <alignment horizontal="center" readingOrder="0" shrinkToFit="0" vertical="top" wrapText="1"/>
    </xf>
    <xf borderId="1" fillId="7" fontId="2" numFmtId="164" xfId="0" applyBorder="1" applyFill="1" applyFont="1" applyNumberFormat="1"/>
    <xf borderId="1" fillId="0" fontId="9" numFmtId="0" xfId="0" applyAlignment="1" applyBorder="1" applyFont="1">
      <alignment horizontal="left" readingOrder="0" shrinkToFit="0" vertical="top" wrapText="1"/>
    </xf>
    <xf borderId="1" fillId="6" fontId="11" numFmtId="9" xfId="0" applyAlignment="1" applyBorder="1" applyFill="1" applyFont="1" applyNumberFormat="1">
      <alignment horizontal="center" readingOrder="0" shrinkToFit="0" vertical="top" wrapText="1"/>
    </xf>
    <xf borderId="1" fillId="0" fontId="9" numFmtId="0" xfId="0" applyAlignment="1" applyBorder="1" applyFont="1">
      <alignment horizontal="center" readingOrder="0"/>
    </xf>
    <xf borderId="1" fillId="0" fontId="9" numFmtId="0" xfId="0" applyAlignment="1" applyBorder="1" applyFont="1">
      <alignment horizontal="left" readingOrder="0"/>
    </xf>
    <xf borderId="1" fillId="8" fontId="9" numFmtId="0" xfId="0" applyAlignment="1" applyBorder="1" applyFill="1" applyFont="1">
      <alignment horizontal="center" readingOrder="0"/>
    </xf>
    <xf borderId="1" fillId="5" fontId="2" numFmtId="164" xfId="0" applyBorder="1" applyFill="1" applyFont="1" applyNumberFormat="1"/>
    <xf borderId="1" fillId="9" fontId="9" numFmtId="0" xfId="0" applyAlignment="1" applyBorder="1" applyFill="1" applyFont="1">
      <alignment horizontal="center" readingOrder="0"/>
    </xf>
    <xf borderId="1" fillId="7" fontId="9" numFmtId="0" xfId="0" applyAlignment="1" applyBorder="1" applyFill="1" applyFont="1">
      <alignment horizontal="center" readingOrder="0" shrinkToFit="0" vertical="top" wrapText="1"/>
    </xf>
    <xf borderId="0" fillId="0" fontId="12" numFmtId="0" xfId="0" applyAlignment="1" applyFont="1">
      <alignment horizontal="left" readingOrder="0"/>
    </xf>
    <xf borderId="1" fillId="0" fontId="9" numFmtId="0" xfId="0" applyAlignment="1" applyBorder="1" applyFont="1">
      <alignment horizontal="left" readingOrder="0" shrinkToFit="0" wrapText="1"/>
    </xf>
    <xf borderId="1" fillId="0" fontId="9" numFmtId="0" xfId="0" applyAlignment="1" applyBorder="1" applyFont="1">
      <alignment horizontal="center" readingOrder="0" vertical="center"/>
    </xf>
    <xf borderId="0" fillId="0" fontId="3" numFmtId="0" xfId="0" applyAlignment="1" applyFont="1">
      <alignment horizontal="center" readingOrder="0"/>
    </xf>
    <xf borderId="1" fillId="6" fontId="9" numFmtId="0" xfId="0" applyAlignment="1" applyBorder="1" applyFill="1" applyFont="1">
      <alignment horizontal="center" readingOrder="0" shrinkToFit="0" vertical="top" wrapText="1"/>
    </xf>
    <xf borderId="1" fillId="5" fontId="2" numFmtId="164" xfId="0" applyAlignment="1" applyBorder="1" applyFill="1" applyFont="1" applyNumberFormat="1">
      <alignment readingOrder="0"/>
    </xf>
    <xf borderId="1" fillId="0" fontId="12" numFmtId="0" xfId="0" applyAlignment="1" applyBorder="1" applyFont="1">
      <alignment readingOrder="0" shrinkToFit="0" wrapText="1"/>
    </xf>
    <xf borderId="1" fillId="10" fontId="9" numFmtId="0" xfId="0" applyAlignment="1" applyBorder="1" applyFill="1" applyFont="1">
      <alignment horizontal="center" readingOrder="0"/>
    </xf>
    <xf borderId="1" fillId="6" fontId="9" numFmtId="9" xfId="0" applyAlignment="1" applyBorder="1" applyFill="1" applyFont="1" applyNumberFormat="1">
      <alignment horizontal="center" readingOrder="0" shrinkToFit="0" vertical="top" wrapText="1"/>
    </xf>
    <xf borderId="1" fillId="6" fontId="2" numFmtId="164" xfId="0" applyAlignment="1" applyBorder="1" applyFill="1" applyFont="1" applyNumberFormat="1">
      <alignment readingOrder="0"/>
    </xf>
    <xf borderId="1" fillId="0" fontId="12"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0" fillId="0" fontId="9" numFmtId="0" xfId="0" applyAlignment="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25"/>
    <col customWidth="1" min="4" max="4" width="83.88"/>
  </cols>
  <sheetData>
    <row r="2">
      <c r="B2" s="1" t="s">
        <v>0</v>
      </c>
      <c r="C2" s="3"/>
      <c r="D2" s="3"/>
    </row>
    <row r="4">
      <c r="B4" s="5"/>
      <c r="C4" s="5"/>
      <c r="D4" s="5"/>
    </row>
    <row r="5">
      <c r="B5" s="7" t="s">
        <v>5</v>
      </c>
      <c r="C5" s="7" t="s">
        <v>9</v>
      </c>
      <c r="D5" s="7" t="s">
        <v>10</v>
      </c>
    </row>
    <row r="6" ht="18.75" customHeight="1">
      <c r="B6" s="9" t="s">
        <v>11</v>
      </c>
      <c r="C6" s="11" t="s">
        <v>12</v>
      </c>
      <c r="D6" s="11" t="s">
        <v>13</v>
      </c>
    </row>
    <row r="7" ht="18.75" customHeight="1">
      <c r="B7" s="13"/>
      <c r="C7" s="11" t="s">
        <v>14</v>
      </c>
      <c r="D7" s="11" t="s">
        <v>15</v>
      </c>
    </row>
    <row r="8" ht="18.75" customHeight="1">
      <c r="B8" s="9" t="s">
        <v>16</v>
      </c>
      <c r="C8" s="11" t="s">
        <v>19</v>
      </c>
      <c r="D8" s="11" t="s">
        <v>20</v>
      </c>
    </row>
    <row r="9" ht="18.75" customHeight="1">
      <c r="B9" s="13"/>
      <c r="C9" s="11" t="s">
        <v>22</v>
      </c>
      <c r="D9" s="11" t="s">
        <v>23</v>
      </c>
    </row>
    <row r="10" ht="18.75" customHeight="1">
      <c r="B10" s="9" t="s">
        <v>24</v>
      </c>
      <c r="C10" s="11" t="s">
        <v>25</v>
      </c>
      <c r="D10" s="11" t="s">
        <v>26</v>
      </c>
    </row>
    <row r="11" ht="18.75" customHeight="1">
      <c r="B11" s="13"/>
      <c r="C11" s="11" t="s">
        <v>29</v>
      </c>
      <c r="D11" s="11" t="s">
        <v>30</v>
      </c>
    </row>
    <row r="12" ht="18.75" customHeight="1">
      <c r="B12" s="9" t="s">
        <v>31</v>
      </c>
      <c r="C12" s="11" t="s">
        <v>32</v>
      </c>
      <c r="D12" s="11" t="s">
        <v>34</v>
      </c>
    </row>
    <row r="13" ht="18.75" customHeight="1">
      <c r="B13" s="13"/>
      <c r="C13" s="11" t="s">
        <v>35</v>
      </c>
      <c r="D13" s="11" t="s">
        <v>36</v>
      </c>
    </row>
    <row r="14" ht="18.75" customHeight="1">
      <c r="B14" s="9" t="s">
        <v>38</v>
      </c>
      <c r="C14" s="11" t="s">
        <v>41</v>
      </c>
      <c r="D14" s="11" t="s">
        <v>42</v>
      </c>
    </row>
    <row r="15" ht="18.75" customHeight="1">
      <c r="B15" s="13"/>
      <c r="C15" s="11" t="s">
        <v>44</v>
      </c>
      <c r="D15" s="11" t="s">
        <v>45</v>
      </c>
    </row>
    <row r="16" ht="18.75" customHeight="1">
      <c r="B16" s="9" t="s">
        <v>46</v>
      </c>
      <c r="C16" s="11" t="s">
        <v>47</v>
      </c>
      <c r="D16" s="11" t="s">
        <v>48</v>
      </c>
    </row>
    <row r="17" ht="18.75" customHeight="1">
      <c r="B17" s="13"/>
      <c r="C17" s="11" t="s">
        <v>49</v>
      </c>
      <c r="D17" s="11" t="s">
        <v>51</v>
      </c>
    </row>
    <row r="18">
      <c r="B18" s="18"/>
    </row>
  </sheetData>
  <mergeCells count="6">
    <mergeCell ref="B6:B7"/>
    <mergeCell ref="B8:B9"/>
    <mergeCell ref="B10:B11"/>
    <mergeCell ref="B12:B13"/>
    <mergeCell ref="B14:B15"/>
    <mergeCell ref="B16:B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0.13"/>
    <col customWidth="1" min="4" max="4" width="37.5"/>
  </cols>
  <sheetData>
    <row r="1">
      <c r="A1" s="2"/>
      <c r="B1" s="2"/>
      <c r="C1" s="2"/>
      <c r="D1" s="2"/>
    </row>
    <row r="2">
      <c r="A2" s="2"/>
      <c r="B2" s="2"/>
      <c r="C2" s="2"/>
      <c r="D2" s="2"/>
    </row>
    <row r="3">
      <c r="A3" s="2"/>
      <c r="B3" s="8" t="s">
        <v>8</v>
      </c>
      <c r="C3" s="12">
        <v>5.0</v>
      </c>
      <c r="D3" s="12" t="s">
        <v>18</v>
      </c>
    </row>
    <row r="4">
      <c r="A4" s="2"/>
      <c r="B4" s="15"/>
      <c r="C4" s="12">
        <v>4.0</v>
      </c>
      <c r="D4" s="12" t="s">
        <v>27</v>
      </c>
    </row>
    <row r="5">
      <c r="A5" s="2"/>
      <c r="B5" s="15"/>
      <c r="C5" s="12">
        <v>3.0</v>
      </c>
      <c r="D5" s="12" t="s">
        <v>33</v>
      </c>
    </row>
    <row r="6">
      <c r="A6" s="2"/>
      <c r="B6" s="15"/>
      <c r="C6" s="12">
        <v>2.0</v>
      </c>
      <c r="D6" s="12" t="s">
        <v>39</v>
      </c>
      <c r="F6" s="19" t="s">
        <v>43</v>
      </c>
      <c r="G6" s="20"/>
      <c r="H6" s="20"/>
      <c r="I6" s="20"/>
      <c r="J6" s="20"/>
      <c r="K6" s="20"/>
      <c r="L6" s="21"/>
    </row>
    <row r="7">
      <c r="A7" s="2"/>
      <c r="B7" s="13"/>
      <c r="C7" s="12">
        <v>1.0</v>
      </c>
      <c r="D7" s="12" t="s">
        <v>68</v>
      </c>
      <c r="F7" s="19" t="s">
        <v>69</v>
      </c>
      <c r="G7" s="21"/>
      <c r="H7" s="19" t="s">
        <v>71</v>
      </c>
      <c r="I7" s="20"/>
      <c r="J7" s="20"/>
      <c r="K7" s="20"/>
      <c r="L7" s="21"/>
    </row>
    <row r="8">
      <c r="F8" s="22" t="s">
        <v>64</v>
      </c>
      <c r="G8" s="23">
        <v>0.9</v>
      </c>
      <c r="H8" s="24" t="s">
        <v>76</v>
      </c>
      <c r="I8" s="27">
        <f>0.9*0.1</f>
        <v>0.09</v>
      </c>
      <c r="J8" s="31">
        <f>0.9*0.4</f>
        <v>0.36</v>
      </c>
      <c r="K8" s="31">
        <f>0.9*0.7</f>
        <v>0.63</v>
      </c>
      <c r="L8" s="31">
        <f>0.9*0.9</f>
        <v>0.81</v>
      </c>
    </row>
    <row r="9">
      <c r="A9" s="2"/>
      <c r="B9" s="8" t="s">
        <v>85</v>
      </c>
      <c r="C9" s="12">
        <v>5.0</v>
      </c>
      <c r="D9" s="12" t="s">
        <v>86</v>
      </c>
      <c r="F9" s="22" t="s">
        <v>28</v>
      </c>
      <c r="G9" s="23">
        <v>0.7</v>
      </c>
      <c r="H9" s="24" t="s">
        <v>88</v>
      </c>
      <c r="I9" s="27">
        <f>0.7*0.1</f>
        <v>0.07</v>
      </c>
      <c r="J9" s="31">
        <f>0.7*0.4</f>
        <v>0.28</v>
      </c>
      <c r="K9" s="31">
        <f>0.7*0.7</f>
        <v>0.49</v>
      </c>
      <c r="L9" s="31">
        <f>0.7*0.9</f>
        <v>0.63</v>
      </c>
    </row>
    <row r="10">
      <c r="A10" s="2"/>
      <c r="B10" s="15"/>
      <c r="C10" s="12">
        <v>4.0</v>
      </c>
      <c r="D10" s="12" t="s">
        <v>97</v>
      </c>
      <c r="F10" s="22" t="s">
        <v>55</v>
      </c>
      <c r="G10" s="23">
        <v>0.5</v>
      </c>
      <c r="H10" s="24" t="s">
        <v>100</v>
      </c>
      <c r="I10" s="27">
        <f>0.5*0.1</f>
        <v>0.05</v>
      </c>
      <c r="J10" s="27">
        <f>0.5*0.4</f>
        <v>0.2</v>
      </c>
      <c r="K10" s="31">
        <f>0.5*0.7</f>
        <v>0.35</v>
      </c>
      <c r="L10" s="31">
        <f>0.5*0.9</f>
        <v>0.45</v>
      </c>
    </row>
    <row r="11">
      <c r="A11" s="2"/>
      <c r="B11" s="15"/>
      <c r="C11" s="12">
        <v>3.0</v>
      </c>
      <c r="D11" s="12" t="s">
        <v>112</v>
      </c>
      <c r="F11" s="22" t="s">
        <v>113</v>
      </c>
      <c r="G11" s="23">
        <v>0.3</v>
      </c>
      <c r="H11" s="24" t="s">
        <v>114</v>
      </c>
      <c r="I11" s="37">
        <f>0.3*0.1</f>
        <v>0.03</v>
      </c>
      <c r="J11" s="27">
        <f>0.3*0.4</f>
        <v>0.12</v>
      </c>
      <c r="K11" s="31">
        <f>0.7*0.3</f>
        <v>0.21</v>
      </c>
      <c r="L11" s="31">
        <f>0.3*0.9</f>
        <v>0.27</v>
      </c>
    </row>
    <row r="12">
      <c r="A12" s="2"/>
      <c r="B12" s="15"/>
      <c r="C12" s="12">
        <v>2.0</v>
      </c>
      <c r="D12" s="12" t="s">
        <v>127</v>
      </c>
      <c r="F12" s="22" t="s">
        <v>128</v>
      </c>
      <c r="G12" s="23">
        <v>0.1</v>
      </c>
      <c r="H12" s="24" t="s">
        <v>129</v>
      </c>
      <c r="I12" s="45">
        <f>0.1*0.1</f>
        <v>0.01</v>
      </c>
      <c r="J12" s="45">
        <f>0.1*0.4</f>
        <v>0.04</v>
      </c>
      <c r="K12" s="49">
        <f>0.7*0.1</f>
        <v>0.07</v>
      </c>
      <c r="L12" s="49">
        <f>0.1*0.9</f>
        <v>0.09</v>
      </c>
    </row>
    <row r="13">
      <c r="A13" s="2"/>
      <c r="B13" s="13"/>
      <c r="C13" s="12">
        <v>1.0</v>
      </c>
      <c r="D13" s="12" t="s">
        <v>139</v>
      </c>
      <c r="H13" s="23">
        <v>0.05</v>
      </c>
      <c r="I13" s="23">
        <v>0.1</v>
      </c>
      <c r="J13" s="23">
        <v>0.4</v>
      </c>
      <c r="K13" s="23">
        <v>0.7</v>
      </c>
      <c r="L13" s="23">
        <v>0.9</v>
      </c>
    </row>
    <row r="14">
      <c r="H14" s="22" t="s">
        <v>140</v>
      </c>
      <c r="I14" s="22" t="s">
        <v>113</v>
      </c>
      <c r="J14" s="22" t="s">
        <v>55</v>
      </c>
      <c r="K14" s="22" t="s">
        <v>28</v>
      </c>
      <c r="L14" s="22" t="s">
        <v>64</v>
      </c>
    </row>
  </sheetData>
  <mergeCells count="5">
    <mergeCell ref="B3:B7"/>
    <mergeCell ref="F6:L6"/>
    <mergeCell ref="F7:G7"/>
    <mergeCell ref="H7:L7"/>
    <mergeCell ref="B9: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25"/>
    <col customWidth="1" min="4" max="4" width="52.25"/>
    <col customWidth="1" min="5" max="5" width="84.25"/>
    <col customWidth="1" min="6" max="6" width="22.13"/>
    <col customWidth="1" min="7" max="7" width="25.5"/>
    <col customWidth="1" min="8" max="8" width="14.0"/>
  </cols>
  <sheetData>
    <row r="3">
      <c r="B3" s="4" t="s">
        <v>1</v>
      </c>
      <c r="C3" s="4" t="s">
        <v>2</v>
      </c>
      <c r="D3" s="4" t="s">
        <v>3</v>
      </c>
      <c r="E3" s="4" t="s">
        <v>4</v>
      </c>
      <c r="F3" s="4" t="s">
        <v>5</v>
      </c>
      <c r="G3" s="4" t="s">
        <v>6</v>
      </c>
      <c r="H3" s="4" t="s">
        <v>7</v>
      </c>
    </row>
    <row r="4" ht="35.25" customHeight="1">
      <c r="A4" s="6"/>
      <c r="B4" s="10">
        <v>1.0</v>
      </c>
      <c r="C4" s="10" t="s">
        <v>12</v>
      </c>
      <c r="D4" s="14" t="s">
        <v>13</v>
      </c>
      <c r="E4" s="14" t="s">
        <v>17</v>
      </c>
      <c r="F4" s="10" t="s">
        <v>11</v>
      </c>
      <c r="G4" s="16" t="s">
        <v>21</v>
      </c>
      <c r="H4" s="16" t="s">
        <v>28</v>
      </c>
      <c r="I4" s="6"/>
      <c r="J4" s="6"/>
      <c r="K4" s="6"/>
      <c r="L4" s="6"/>
      <c r="M4" s="6"/>
      <c r="N4" s="6"/>
      <c r="O4" s="6"/>
      <c r="P4" s="6"/>
      <c r="Q4" s="6"/>
      <c r="R4" s="6"/>
      <c r="S4" s="6"/>
      <c r="T4" s="6"/>
      <c r="U4" s="6"/>
      <c r="V4" s="6"/>
      <c r="W4" s="6"/>
      <c r="X4" s="6"/>
      <c r="Y4" s="6"/>
      <c r="Z4" s="6"/>
    </row>
    <row r="5">
      <c r="A5" s="6"/>
      <c r="B5" s="10">
        <v>2.0</v>
      </c>
      <c r="C5" s="10" t="s">
        <v>14</v>
      </c>
      <c r="D5" s="14" t="s">
        <v>37</v>
      </c>
      <c r="E5" s="17" t="s">
        <v>40</v>
      </c>
      <c r="F5" s="10" t="s">
        <v>11</v>
      </c>
      <c r="G5" s="16" t="s">
        <v>21</v>
      </c>
      <c r="H5" s="16" t="s">
        <v>28</v>
      </c>
      <c r="I5" s="6"/>
      <c r="J5" s="6"/>
      <c r="K5" s="6"/>
      <c r="L5" s="6"/>
      <c r="M5" s="6"/>
      <c r="N5" s="6"/>
      <c r="O5" s="6"/>
      <c r="P5" s="6"/>
      <c r="Q5" s="6"/>
      <c r="R5" s="6"/>
      <c r="S5" s="6"/>
      <c r="T5" s="6"/>
      <c r="U5" s="6"/>
      <c r="V5" s="6"/>
      <c r="W5" s="6"/>
      <c r="X5" s="6"/>
      <c r="Y5" s="6"/>
      <c r="Z5" s="6"/>
    </row>
    <row r="6">
      <c r="A6" s="6"/>
      <c r="B6" s="10">
        <v>3.0</v>
      </c>
      <c r="C6" s="10" t="s">
        <v>19</v>
      </c>
      <c r="D6" s="14" t="s">
        <v>50</v>
      </c>
      <c r="E6" s="17" t="s">
        <v>52</v>
      </c>
      <c r="F6" s="10" t="s">
        <v>53</v>
      </c>
      <c r="G6" s="16" t="s">
        <v>54</v>
      </c>
      <c r="H6" s="16" t="s">
        <v>55</v>
      </c>
      <c r="I6" s="6"/>
      <c r="J6" s="6"/>
      <c r="K6" s="6"/>
      <c r="L6" s="6"/>
      <c r="M6" s="6"/>
      <c r="N6" s="6"/>
      <c r="O6" s="6"/>
      <c r="P6" s="6"/>
      <c r="Q6" s="6"/>
      <c r="R6" s="6"/>
      <c r="S6" s="6"/>
      <c r="T6" s="6"/>
      <c r="U6" s="6"/>
      <c r="V6" s="6"/>
      <c r="W6" s="6"/>
      <c r="X6" s="6"/>
      <c r="Y6" s="6"/>
      <c r="Z6" s="6"/>
    </row>
    <row r="7">
      <c r="A7" s="6"/>
      <c r="B7" s="10">
        <v>4.0</v>
      </c>
      <c r="C7" s="10" t="s">
        <v>22</v>
      </c>
      <c r="D7" s="14" t="s">
        <v>23</v>
      </c>
      <c r="E7" s="17" t="s">
        <v>56</v>
      </c>
      <c r="F7" s="10" t="s">
        <v>53</v>
      </c>
      <c r="G7" s="16" t="s">
        <v>21</v>
      </c>
      <c r="H7" s="16" t="s">
        <v>55</v>
      </c>
      <c r="I7" s="6"/>
      <c r="J7" s="6"/>
      <c r="K7" s="6"/>
      <c r="L7" s="6"/>
      <c r="M7" s="6"/>
      <c r="N7" s="6"/>
      <c r="O7" s="6"/>
      <c r="P7" s="6"/>
      <c r="Q7" s="6"/>
      <c r="R7" s="6"/>
      <c r="S7" s="6"/>
      <c r="T7" s="6"/>
      <c r="U7" s="6"/>
      <c r="V7" s="6"/>
      <c r="W7" s="6"/>
      <c r="X7" s="6"/>
      <c r="Y7" s="6"/>
      <c r="Z7" s="6"/>
    </row>
    <row r="8">
      <c r="A8" s="6"/>
      <c r="B8" s="10">
        <v>5.0</v>
      </c>
      <c r="C8" s="10" t="s">
        <v>25</v>
      </c>
      <c r="D8" s="14" t="s">
        <v>57</v>
      </c>
      <c r="E8" s="17" t="s">
        <v>58</v>
      </c>
      <c r="F8" s="10" t="s">
        <v>59</v>
      </c>
      <c r="G8" s="16" t="s">
        <v>60</v>
      </c>
      <c r="H8" s="16" t="s">
        <v>55</v>
      </c>
      <c r="I8" s="6"/>
      <c r="J8" s="6"/>
      <c r="K8" s="6"/>
      <c r="L8" s="6"/>
      <c r="M8" s="6"/>
      <c r="N8" s="6"/>
      <c r="O8" s="6"/>
      <c r="P8" s="6"/>
      <c r="Q8" s="6"/>
      <c r="R8" s="6"/>
      <c r="S8" s="6"/>
      <c r="T8" s="6"/>
      <c r="U8" s="6"/>
      <c r="V8" s="6"/>
      <c r="W8" s="6"/>
      <c r="X8" s="6"/>
      <c r="Y8" s="6"/>
      <c r="Z8" s="6"/>
    </row>
    <row r="9">
      <c r="A9" s="6"/>
      <c r="B9" s="10">
        <v>6.0</v>
      </c>
      <c r="C9" s="10" t="s">
        <v>29</v>
      </c>
      <c r="D9" s="14" t="s">
        <v>61</v>
      </c>
      <c r="E9" s="17" t="s">
        <v>62</v>
      </c>
      <c r="F9" s="10" t="s">
        <v>59</v>
      </c>
      <c r="G9" s="16" t="s">
        <v>63</v>
      </c>
      <c r="H9" s="16" t="s">
        <v>64</v>
      </c>
      <c r="I9" s="6"/>
      <c r="J9" s="6"/>
      <c r="K9" s="6"/>
      <c r="L9" s="6"/>
      <c r="M9" s="6"/>
      <c r="N9" s="6"/>
      <c r="O9" s="6"/>
      <c r="P9" s="6"/>
      <c r="Q9" s="6"/>
      <c r="R9" s="6"/>
      <c r="S9" s="6"/>
      <c r="T9" s="6"/>
      <c r="U9" s="6"/>
      <c r="V9" s="6"/>
      <c r="W9" s="6"/>
      <c r="X9" s="6"/>
      <c r="Y9" s="6"/>
      <c r="Z9" s="6"/>
    </row>
    <row r="10">
      <c r="A10" s="6"/>
      <c r="B10" s="10">
        <v>7.0</v>
      </c>
      <c r="C10" s="10" t="s">
        <v>32</v>
      </c>
      <c r="D10" s="14" t="s">
        <v>34</v>
      </c>
      <c r="E10" s="17" t="s">
        <v>65</v>
      </c>
      <c r="F10" s="10" t="s">
        <v>66</v>
      </c>
      <c r="G10" s="16" t="s">
        <v>60</v>
      </c>
      <c r="H10" s="16" t="s">
        <v>55</v>
      </c>
      <c r="I10" s="6"/>
      <c r="J10" s="6"/>
      <c r="K10" s="6"/>
      <c r="L10" s="6"/>
      <c r="M10" s="6"/>
      <c r="N10" s="6"/>
      <c r="O10" s="6"/>
      <c r="P10" s="6"/>
      <c r="Q10" s="6"/>
      <c r="R10" s="6"/>
      <c r="S10" s="6"/>
      <c r="T10" s="6"/>
      <c r="U10" s="6"/>
      <c r="V10" s="6"/>
      <c r="W10" s="6"/>
      <c r="X10" s="6"/>
      <c r="Y10" s="6"/>
      <c r="Z10" s="6"/>
    </row>
    <row r="11">
      <c r="A11" s="6"/>
      <c r="B11" s="10">
        <v>8.0</v>
      </c>
      <c r="C11" s="10" t="s">
        <v>35</v>
      </c>
      <c r="D11" s="14" t="s">
        <v>36</v>
      </c>
      <c r="E11" s="17" t="s">
        <v>67</v>
      </c>
      <c r="F11" s="10" t="s">
        <v>66</v>
      </c>
      <c r="G11" s="16" t="s">
        <v>21</v>
      </c>
      <c r="H11" s="16" t="s">
        <v>28</v>
      </c>
      <c r="I11" s="6"/>
      <c r="J11" s="6"/>
      <c r="K11" s="6"/>
      <c r="L11" s="6"/>
      <c r="M11" s="6"/>
      <c r="N11" s="6"/>
      <c r="O11" s="6"/>
      <c r="P11" s="6"/>
      <c r="Q11" s="6"/>
      <c r="R11" s="6"/>
      <c r="S11" s="6"/>
      <c r="T11" s="6"/>
      <c r="U11" s="6"/>
      <c r="V11" s="6"/>
      <c r="W11" s="6"/>
      <c r="X11" s="6"/>
      <c r="Y11" s="6"/>
      <c r="Z11" s="6"/>
    </row>
    <row r="12">
      <c r="A12" s="6"/>
      <c r="B12" s="10">
        <v>9.0</v>
      </c>
      <c r="C12" s="10" t="s">
        <v>41</v>
      </c>
      <c r="D12" s="14" t="s">
        <v>42</v>
      </c>
      <c r="E12" s="17" t="s">
        <v>70</v>
      </c>
      <c r="F12" s="10" t="s">
        <v>38</v>
      </c>
      <c r="G12" s="16" t="s">
        <v>60</v>
      </c>
      <c r="H12" s="16" t="s">
        <v>55</v>
      </c>
      <c r="I12" s="6"/>
      <c r="J12" s="6"/>
      <c r="K12" s="6"/>
      <c r="L12" s="6"/>
      <c r="M12" s="6"/>
      <c r="N12" s="6"/>
      <c r="O12" s="6"/>
      <c r="P12" s="6"/>
      <c r="Q12" s="6"/>
      <c r="R12" s="6"/>
      <c r="S12" s="6"/>
      <c r="T12" s="6"/>
      <c r="U12" s="6"/>
      <c r="V12" s="6"/>
      <c r="W12" s="6"/>
      <c r="X12" s="6"/>
      <c r="Y12" s="6"/>
      <c r="Z12" s="6"/>
    </row>
    <row r="13">
      <c r="A13" s="6"/>
      <c r="B13" s="10">
        <v>10.0</v>
      </c>
      <c r="C13" s="16" t="s">
        <v>44</v>
      </c>
      <c r="D13" s="14" t="s">
        <v>45</v>
      </c>
      <c r="E13" s="17" t="s">
        <v>72</v>
      </c>
      <c r="F13" s="10" t="s">
        <v>38</v>
      </c>
      <c r="G13" s="16" t="s">
        <v>21</v>
      </c>
      <c r="H13" s="16" t="s">
        <v>28</v>
      </c>
      <c r="I13" s="6"/>
      <c r="J13" s="6"/>
      <c r="K13" s="6"/>
      <c r="L13" s="6"/>
      <c r="M13" s="6"/>
      <c r="N13" s="6"/>
      <c r="O13" s="6"/>
      <c r="P13" s="6"/>
      <c r="Q13" s="6"/>
      <c r="R13" s="6"/>
      <c r="S13" s="6"/>
      <c r="T13" s="6"/>
      <c r="U13" s="6"/>
      <c r="V13" s="6"/>
      <c r="W13" s="6"/>
      <c r="X13" s="6"/>
      <c r="Y13" s="6"/>
      <c r="Z13" s="6"/>
    </row>
    <row r="14">
      <c r="A14" s="6"/>
      <c r="B14" s="10">
        <v>11.0</v>
      </c>
      <c r="C14" s="10" t="s">
        <v>47</v>
      </c>
      <c r="D14" s="14" t="s">
        <v>48</v>
      </c>
      <c r="E14" s="17" t="s">
        <v>73</v>
      </c>
      <c r="F14" s="10" t="s">
        <v>74</v>
      </c>
      <c r="G14" s="16" t="s">
        <v>60</v>
      </c>
      <c r="H14" s="16" t="s">
        <v>28</v>
      </c>
      <c r="I14" s="6"/>
      <c r="J14" s="6"/>
      <c r="K14" s="6"/>
      <c r="L14" s="6"/>
      <c r="M14" s="6"/>
      <c r="N14" s="6"/>
      <c r="O14" s="6"/>
      <c r="P14" s="6"/>
      <c r="Q14" s="6"/>
      <c r="R14" s="6"/>
      <c r="S14" s="6"/>
      <c r="T14" s="6"/>
      <c r="U14" s="6"/>
      <c r="V14" s="6"/>
      <c r="W14" s="6"/>
      <c r="X14" s="6"/>
      <c r="Y14" s="6"/>
      <c r="Z14" s="6"/>
    </row>
    <row r="15">
      <c r="A15" s="6"/>
      <c r="B15" s="10">
        <v>12.0</v>
      </c>
      <c r="C15" s="10" t="s">
        <v>49</v>
      </c>
      <c r="D15" s="14" t="s">
        <v>51</v>
      </c>
      <c r="E15" s="17" t="s">
        <v>75</v>
      </c>
      <c r="F15" s="10" t="s">
        <v>74</v>
      </c>
      <c r="G15" s="16" t="s">
        <v>63</v>
      </c>
      <c r="H15" s="16" t="s">
        <v>28</v>
      </c>
      <c r="I15" s="6"/>
      <c r="J15" s="6"/>
      <c r="K15" s="6"/>
      <c r="L15" s="6"/>
      <c r="M15" s="6"/>
      <c r="N15" s="6"/>
      <c r="O15" s="6"/>
      <c r="P15" s="6"/>
      <c r="Q15" s="6"/>
      <c r="R15" s="6"/>
      <c r="S15" s="6"/>
      <c r="T15" s="6"/>
      <c r="U15" s="6"/>
      <c r="V15" s="6"/>
      <c r="W15" s="6"/>
      <c r="X15" s="6"/>
      <c r="Y15" s="6"/>
      <c r="Z15"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3.75"/>
    <col customWidth="1" min="3" max="3" width="23.0"/>
    <col customWidth="1" min="4" max="4" width="26.25"/>
    <col customWidth="1" min="5" max="5" width="116.0"/>
    <col customWidth="1" min="6" max="6" width="46.13"/>
  </cols>
  <sheetData>
    <row r="1" ht="28.5" customHeight="1">
      <c r="A1" s="25"/>
      <c r="B1" s="26"/>
      <c r="C1" s="20"/>
      <c r="D1" s="20"/>
      <c r="E1" s="20"/>
      <c r="F1" s="21"/>
      <c r="G1" s="25"/>
      <c r="H1" s="25"/>
    </row>
    <row r="2" ht="23.25" customHeight="1">
      <c r="A2" s="25"/>
      <c r="B2" s="4" t="s">
        <v>2</v>
      </c>
      <c r="C2" s="4" t="s">
        <v>77</v>
      </c>
      <c r="D2" s="4" t="s">
        <v>78</v>
      </c>
      <c r="E2" s="4" t="s">
        <v>79</v>
      </c>
      <c r="F2" s="4" t="s">
        <v>80</v>
      </c>
      <c r="G2" s="25"/>
      <c r="H2" s="25"/>
    </row>
    <row r="3" ht="48.75" customHeight="1">
      <c r="A3" s="28"/>
      <c r="B3" s="29" t="s">
        <v>12</v>
      </c>
      <c r="C3" s="30">
        <v>0.35</v>
      </c>
      <c r="D3" s="29" t="s">
        <v>81</v>
      </c>
      <c r="E3" s="32" t="s">
        <v>82</v>
      </c>
      <c r="F3" s="29" t="s">
        <v>83</v>
      </c>
      <c r="G3" s="28"/>
      <c r="H3" s="28"/>
      <c r="I3" s="6"/>
      <c r="J3" s="6"/>
      <c r="K3" s="6"/>
      <c r="L3" s="6"/>
      <c r="M3" s="6"/>
      <c r="N3" s="6"/>
      <c r="O3" s="6"/>
      <c r="P3" s="6"/>
      <c r="Q3" s="6"/>
      <c r="R3" s="6"/>
      <c r="S3" s="6"/>
      <c r="T3" s="6"/>
      <c r="U3" s="6"/>
      <c r="V3" s="6"/>
      <c r="W3" s="6"/>
      <c r="X3" s="6"/>
    </row>
    <row r="4" ht="48.75" customHeight="1">
      <c r="A4" s="28"/>
      <c r="B4" s="29" t="s">
        <v>14</v>
      </c>
      <c r="C4" s="30">
        <v>0.35</v>
      </c>
      <c r="D4" s="29" t="s">
        <v>81</v>
      </c>
      <c r="E4" s="32" t="s">
        <v>84</v>
      </c>
      <c r="F4" s="29" t="s">
        <v>83</v>
      </c>
      <c r="G4" s="28"/>
      <c r="H4" s="28"/>
      <c r="I4" s="6"/>
      <c r="J4" s="6"/>
      <c r="K4" s="6"/>
      <c r="L4" s="6"/>
      <c r="M4" s="6"/>
      <c r="N4" s="6"/>
      <c r="O4" s="6"/>
      <c r="P4" s="6"/>
      <c r="Q4" s="6"/>
      <c r="R4" s="6"/>
      <c r="S4" s="6"/>
      <c r="T4" s="6"/>
      <c r="U4" s="6"/>
      <c r="V4" s="6"/>
      <c r="W4" s="6"/>
      <c r="X4" s="6"/>
    </row>
    <row r="5" ht="48.75" customHeight="1">
      <c r="A5" s="28"/>
      <c r="B5" s="29" t="s">
        <v>19</v>
      </c>
      <c r="C5" s="30">
        <v>0.28</v>
      </c>
      <c r="D5" s="29" t="s">
        <v>81</v>
      </c>
      <c r="E5" s="32" t="s">
        <v>87</v>
      </c>
      <c r="F5" s="29" t="s">
        <v>83</v>
      </c>
      <c r="G5" s="28"/>
      <c r="H5" s="28"/>
      <c r="I5" s="6"/>
      <c r="J5" s="6"/>
      <c r="K5" s="6"/>
      <c r="L5" s="6"/>
      <c r="M5" s="6"/>
      <c r="N5" s="6"/>
      <c r="O5" s="6"/>
      <c r="P5" s="6"/>
      <c r="Q5" s="6"/>
      <c r="R5" s="6"/>
      <c r="S5" s="6"/>
      <c r="T5" s="6"/>
      <c r="U5" s="6"/>
      <c r="V5" s="6"/>
      <c r="W5" s="6"/>
      <c r="X5" s="6"/>
    </row>
    <row r="6" ht="48.75" customHeight="1">
      <c r="A6" s="28"/>
      <c r="B6" s="29" t="s">
        <v>22</v>
      </c>
      <c r="C6" s="33">
        <v>0.2</v>
      </c>
      <c r="D6" s="29" t="s">
        <v>89</v>
      </c>
      <c r="E6" s="32" t="s">
        <v>90</v>
      </c>
      <c r="F6" s="29" t="s">
        <v>91</v>
      </c>
      <c r="G6" s="28"/>
      <c r="H6" s="28"/>
      <c r="I6" s="6"/>
      <c r="J6" s="6"/>
      <c r="K6" s="6"/>
      <c r="L6" s="6"/>
      <c r="M6" s="6"/>
      <c r="N6" s="6"/>
      <c r="O6" s="6"/>
      <c r="P6" s="6"/>
      <c r="Q6" s="6"/>
      <c r="R6" s="6"/>
      <c r="S6" s="6"/>
      <c r="T6" s="6"/>
      <c r="U6" s="6"/>
      <c r="V6" s="6"/>
      <c r="W6" s="6"/>
      <c r="X6" s="6"/>
    </row>
    <row r="7" ht="48.75" customHeight="1">
      <c r="A7" s="28"/>
      <c r="B7" s="29" t="s">
        <v>25</v>
      </c>
      <c r="C7" s="33">
        <v>0.12</v>
      </c>
      <c r="D7" s="29" t="s">
        <v>89</v>
      </c>
      <c r="E7" s="32" t="s">
        <v>93</v>
      </c>
      <c r="F7" s="29" t="s">
        <v>94</v>
      </c>
      <c r="G7" s="28"/>
      <c r="H7" s="28"/>
      <c r="I7" s="6"/>
      <c r="J7" s="6"/>
      <c r="K7" s="6"/>
      <c r="L7" s="6"/>
      <c r="M7" s="6"/>
      <c r="N7" s="6"/>
      <c r="O7" s="6"/>
      <c r="P7" s="6"/>
      <c r="Q7" s="6"/>
      <c r="R7" s="6"/>
      <c r="S7" s="6"/>
      <c r="T7" s="6"/>
      <c r="U7" s="6"/>
      <c r="V7" s="6"/>
      <c r="W7" s="6"/>
      <c r="X7" s="6"/>
    </row>
    <row r="8" ht="48.75" customHeight="1">
      <c r="A8" s="28"/>
      <c r="B8" s="29" t="s">
        <v>29</v>
      </c>
      <c r="C8" s="33">
        <v>0.09</v>
      </c>
      <c r="D8" s="29" t="s">
        <v>95</v>
      </c>
      <c r="E8" s="32" t="s">
        <v>96</v>
      </c>
      <c r="F8" s="29" t="s">
        <v>94</v>
      </c>
      <c r="G8" s="28"/>
      <c r="H8" s="28"/>
      <c r="I8" s="6"/>
      <c r="J8" s="6"/>
      <c r="K8" s="6"/>
      <c r="L8" s="6"/>
      <c r="M8" s="6"/>
      <c r="N8" s="6"/>
      <c r="O8" s="6"/>
      <c r="P8" s="6"/>
      <c r="Q8" s="6"/>
      <c r="R8" s="6"/>
      <c r="S8" s="6"/>
      <c r="T8" s="6"/>
      <c r="U8" s="6"/>
      <c r="V8" s="6"/>
      <c r="W8" s="6"/>
      <c r="X8" s="6"/>
    </row>
    <row r="9" ht="48.75" customHeight="1">
      <c r="A9" s="28"/>
      <c r="B9" s="29" t="s">
        <v>32</v>
      </c>
      <c r="C9" s="33">
        <v>0.12</v>
      </c>
      <c r="D9" s="29" t="s">
        <v>89</v>
      </c>
      <c r="E9" s="32" t="s">
        <v>103</v>
      </c>
      <c r="F9" s="29" t="s">
        <v>83</v>
      </c>
      <c r="G9" s="28"/>
      <c r="H9" s="28"/>
      <c r="I9" s="6"/>
      <c r="J9" s="6"/>
      <c r="K9" s="6"/>
      <c r="L9" s="6"/>
      <c r="M9" s="6"/>
      <c r="N9" s="6"/>
      <c r="O9" s="6"/>
      <c r="P9" s="6"/>
      <c r="Q9" s="6"/>
      <c r="R9" s="6"/>
      <c r="S9" s="6"/>
      <c r="T9" s="6"/>
      <c r="U9" s="6"/>
      <c r="V9" s="6"/>
      <c r="W9" s="6"/>
      <c r="X9" s="6"/>
    </row>
    <row r="10" ht="48.75" customHeight="1">
      <c r="A10" s="28"/>
      <c r="B10" s="29" t="s">
        <v>35</v>
      </c>
      <c r="C10" s="30">
        <v>0.35</v>
      </c>
      <c r="D10" s="29" t="s">
        <v>81</v>
      </c>
      <c r="E10" s="32" t="s">
        <v>104</v>
      </c>
      <c r="F10" s="29" t="s">
        <v>91</v>
      </c>
      <c r="G10" s="28"/>
      <c r="H10" s="28"/>
      <c r="I10" s="6"/>
      <c r="J10" s="6"/>
      <c r="K10" s="6"/>
      <c r="L10" s="6"/>
      <c r="M10" s="6"/>
      <c r="N10" s="6"/>
      <c r="O10" s="6"/>
      <c r="P10" s="6"/>
      <c r="Q10" s="6"/>
      <c r="R10" s="6"/>
      <c r="S10" s="6"/>
      <c r="T10" s="6"/>
      <c r="U10" s="6"/>
      <c r="V10" s="6"/>
      <c r="W10" s="6"/>
      <c r="X10" s="6"/>
    </row>
    <row r="11" ht="48.75" customHeight="1">
      <c r="A11" s="28"/>
      <c r="B11" s="29" t="s">
        <v>41</v>
      </c>
      <c r="C11" s="33">
        <v>0.12</v>
      </c>
      <c r="D11" s="29" t="s">
        <v>89</v>
      </c>
      <c r="E11" s="32" t="s">
        <v>107</v>
      </c>
      <c r="F11" s="29" t="s">
        <v>94</v>
      </c>
      <c r="G11" s="28"/>
      <c r="H11" s="28"/>
      <c r="I11" s="6"/>
      <c r="J11" s="6"/>
      <c r="K11" s="6"/>
      <c r="L11" s="6"/>
      <c r="M11" s="6"/>
      <c r="N11" s="6"/>
      <c r="O11" s="6"/>
      <c r="P11" s="6"/>
      <c r="Q11" s="6"/>
      <c r="R11" s="6"/>
      <c r="S11" s="6"/>
      <c r="T11" s="6"/>
      <c r="U11" s="6"/>
      <c r="V11" s="6"/>
      <c r="W11" s="6"/>
      <c r="X11" s="6"/>
    </row>
    <row r="12" ht="48.75" customHeight="1">
      <c r="A12" s="28"/>
      <c r="B12" s="29" t="s">
        <v>44</v>
      </c>
      <c r="C12" s="30">
        <v>0.35</v>
      </c>
      <c r="D12" s="29" t="s">
        <v>81</v>
      </c>
      <c r="E12" s="32" t="s">
        <v>109</v>
      </c>
      <c r="F12" s="29" t="s">
        <v>91</v>
      </c>
      <c r="G12" s="28"/>
      <c r="H12" s="28"/>
      <c r="I12" s="6"/>
      <c r="J12" s="6"/>
      <c r="K12" s="6"/>
      <c r="L12" s="6"/>
      <c r="M12" s="6"/>
      <c r="N12" s="6"/>
      <c r="O12" s="6"/>
      <c r="P12" s="6"/>
      <c r="Q12" s="6"/>
      <c r="R12" s="6"/>
      <c r="S12" s="6"/>
      <c r="T12" s="6"/>
      <c r="U12" s="6"/>
      <c r="V12" s="6"/>
      <c r="W12" s="6"/>
      <c r="X12" s="6"/>
    </row>
    <row r="13" ht="48.75" customHeight="1">
      <c r="A13" s="28"/>
      <c r="B13" s="29" t="s">
        <v>47</v>
      </c>
      <c r="C13" s="30">
        <v>0.21</v>
      </c>
      <c r="D13" s="29" t="s">
        <v>81</v>
      </c>
      <c r="E13" s="32" t="s">
        <v>111</v>
      </c>
      <c r="F13" s="29" t="s">
        <v>83</v>
      </c>
      <c r="G13" s="28"/>
      <c r="H13" s="28"/>
      <c r="I13" s="6"/>
      <c r="J13" s="6"/>
      <c r="K13" s="6"/>
      <c r="L13" s="6"/>
      <c r="M13" s="6"/>
      <c r="N13" s="6"/>
      <c r="O13" s="6"/>
      <c r="P13" s="6"/>
      <c r="Q13" s="6"/>
      <c r="R13" s="6"/>
      <c r="S13" s="6"/>
      <c r="T13" s="6"/>
      <c r="U13" s="6"/>
      <c r="V13" s="6"/>
      <c r="W13" s="6"/>
      <c r="X13" s="6"/>
    </row>
    <row r="14" ht="48.75" customHeight="1">
      <c r="A14" s="28"/>
      <c r="B14" s="29" t="s">
        <v>49</v>
      </c>
      <c r="C14" s="33">
        <v>0.07</v>
      </c>
      <c r="D14" s="29" t="s">
        <v>81</v>
      </c>
      <c r="E14" s="32" t="s">
        <v>115</v>
      </c>
      <c r="F14" s="29" t="s">
        <v>83</v>
      </c>
      <c r="G14" s="28"/>
      <c r="H14" s="28"/>
      <c r="I14" s="6"/>
      <c r="J14" s="6"/>
      <c r="K14" s="6"/>
      <c r="L14" s="6"/>
      <c r="M14" s="6"/>
      <c r="N14" s="6"/>
      <c r="O14" s="6"/>
      <c r="P14" s="6"/>
      <c r="Q14" s="6"/>
      <c r="R14" s="6"/>
      <c r="S14" s="6"/>
      <c r="T14" s="6"/>
      <c r="U14" s="6"/>
      <c r="V14" s="6"/>
      <c r="W14" s="6"/>
      <c r="X14" s="6"/>
    </row>
    <row r="15">
      <c r="A15" s="25"/>
      <c r="B15" s="25"/>
      <c r="C15" s="25"/>
      <c r="D15" s="25"/>
      <c r="E15" s="25"/>
      <c r="F15" s="25"/>
      <c r="G15" s="25"/>
      <c r="H15" s="25"/>
    </row>
    <row r="16">
      <c r="A16" s="25"/>
      <c r="B16" s="25"/>
      <c r="C16" s="25"/>
      <c r="D16" s="25"/>
      <c r="E16" s="25"/>
      <c r="F16" s="25"/>
      <c r="G16" s="25"/>
      <c r="H16" s="25"/>
    </row>
    <row r="18">
      <c r="B18" s="12" t="s">
        <v>118</v>
      </c>
      <c r="C18" s="12" t="s">
        <v>119</v>
      </c>
      <c r="D18" s="12" t="s">
        <v>120</v>
      </c>
      <c r="E18" s="12" t="s">
        <v>121</v>
      </c>
    </row>
    <row r="19" ht="162.75" customHeight="1">
      <c r="B19" s="39" t="s">
        <v>122</v>
      </c>
      <c r="C19" s="40" t="s">
        <v>123</v>
      </c>
      <c r="D19" s="41" t="s">
        <v>124</v>
      </c>
      <c r="E19" s="42" t="s">
        <v>126</v>
      </c>
      <c r="F19" s="43"/>
    </row>
    <row r="20">
      <c r="B20" s="44" t="s">
        <v>130</v>
      </c>
      <c r="C20" s="35" t="s">
        <v>132</v>
      </c>
      <c r="D20" s="46" t="s">
        <v>134</v>
      </c>
      <c r="E20" s="42" t="s">
        <v>135</v>
      </c>
      <c r="F20" s="43"/>
    </row>
    <row r="21">
      <c r="B21" s="48">
        <v>0.09</v>
      </c>
      <c r="C21" s="35" t="s">
        <v>136</v>
      </c>
      <c r="D21" s="46" t="s">
        <v>137</v>
      </c>
      <c r="E21" s="50" t="s">
        <v>126</v>
      </c>
      <c r="F21" s="43"/>
    </row>
    <row r="22">
      <c r="B22" s="48">
        <v>0.07</v>
      </c>
      <c r="C22" s="35" t="s">
        <v>123</v>
      </c>
      <c r="D22" s="46" t="s">
        <v>138</v>
      </c>
      <c r="E22" s="51" t="s">
        <v>135</v>
      </c>
      <c r="F22" s="43"/>
    </row>
    <row r="23">
      <c r="B23" s="52"/>
      <c r="C23" s="43"/>
      <c r="D23" s="43"/>
      <c r="E23" s="43"/>
      <c r="F23" s="43"/>
    </row>
    <row r="24">
      <c r="B24" s="52"/>
      <c r="C24" s="43"/>
      <c r="D24" s="43"/>
      <c r="E24" s="43"/>
      <c r="F24" s="43"/>
    </row>
    <row r="25">
      <c r="B25" s="52"/>
      <c r="C25" s="43"/>
      <c r="D25" s="43"/>
      <c r="E25" s="43"/>
      <c r="F25" s="43"/>
    </row>
    <row r="26">
      <c r="B26" s="52"/>
      <c r="C26" s="43"/>
      <c r="D26" s="43"/>
      <c r="E26" s="43"/>
      <c r="F26" s="43"/>
    </row>
    <row r="27">
      <c r="B27" s="52"/>
      <c r="C27" s="43"/>
      <c r="D27" s="43"/>
      <c r="E27" s="43"/>
      <c r="F27" s="43"/>
    </row>
    <row r="28">
      <c r="B28" s="52"/>
      <c r="C28" s="43"/>
      <c r="D28" s="43"/>
      <c r="E28" s="43"/>
      <c r="F28" s="43"/>
    </row>
    <row r="29">
      <c r="B29" s="52"/>
      <c r="C29" s="43"/>
      <c r="D29" s="43"/>
      <c r="E29" s="43"/>
      <c r="F29" s="43"/>
    </row>
    <row r="30">
      <c r="B30" s="52"/>
      <c r="C30" s="43"/>
      <c r="D30" s="43"/>
      <c r="E30" s="43"/>
      <c r="F30" s="43"/>
    </row>
    <row r="31">
      <c r="B31" s="52"/>
      <c r="C31" s="43"/>
      <c r="D31" s="43"/>
      <c r="E31" s="43"/>
      <c r="F31" s="43"/>
    </row>
  </sheetData>
  <mergeCells count="1">
    <mergeCell ref="B1:F1"/>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75"/>
    <col customWidth="1" min="5" max="5" width="82.25"/>
    <col customWidth="1" min="6" max="6" width="18.38"/>
    <col customWidth="1" min="7" max="7" width="27.0"/>
    <col customWidth="1" min="9" max="9" width="21.38"/>
  </cols>
  <sheetData>
    <row r="3">
      <c r="B3" s="25"/>
      <c r="C3" s="25"/>
      <c r="D3" s="25"/>
      <c r="E3" s="25"/>
      <c r="F3" s="25"/>
      <c r="G3" s="25"/>
      <c r="H3" s="25"/>
      <c r="I3" s="25"/>
      <c r="J3" s="25"/>
    </row>
    <row r="4">
      <c r="B4" s="25"/>
      <c r="C4" s="26" t="s">
        <v>92</v>
      </c>
      <c r="D4" s="20"/>
      <c r="E4" s="20"/>
      <c r="F4" s="20"/>
      <c r="G4" s="20"/>
      <c r="H4" s="20"/>
      <c r="I4" s="21"/>
      <c r="J4" s="25"/>
    </row>
    <row r="5">
      <c r="B5" s="25"/>
      <c r="C5" s="4" t="s">
        <v>1</v>
      </c>
      <c r="D5" s="4" t="s">
        <v>2</v>
      </c>
      <c r="E5" s="4" t="s">
        <v>3</v>
      </c>
      <c r="F5" s="4" t="s">
        <v>98</v>
      </c>
      <c r="G5" s="4" t="s">
        <v>99</v>
      </c>
      <c r="H5" s="4" t="s">
        <v>101</v>
      </c>
      <c r="I5" s="4" t="s">
        <v>102</v>
      </c>
      <c r="J5" s="25"/>
    </row>
    <row r="6">
      <c r="B6" s="25"/>
      <c r="C6" s="34">
        <v>1.0</v>
      </c>
      <c r="D6" s="34" t="s">
        <v>12</v>
      </c>
      <c r="E6" s="35" t="s">
        <v>13</v>
      </c>
      <c r="F6" s="34" t="s">
        <v>105</v>
      </c>
      <c r="G6" s="34" t="s">
        <v>106</v>
      </c>
      <c r="H6" s="36" t="s">
        <v>108</v>
      </c>
      <c r="I6" s="34" t="s">
        <v>110</v>
      </c>
      <c r="J6" s="25"/>
    </row>
    <row r="7">
      <c r="B7" s="25"/>
      <c r="C7" s="34">
        <v>2.0</v>
      </c>
      <c r="D7" s="34" t="s">
        <v>14</v>
      </c>
      <c r="E7" s="35" t="s">
        <v>37</v>
      </c>
      <c r="F7" s="34" t="s">
        <v>105</v>
      </c>
      <c r="G7" s="34" t="s">
        <v>106</v>
      </c>
      <c r="H7" s="36" t="s">
        <v>108</v>
      </c>
      <c r="I7" s="34" t="s">
        <v>110</v>
      </c>
      <c r="J7" s="25"/>
    </row>
    <row r="8">
      <c r="B8" s="25"/>
      <c r="C8" s="34">
        <v>3.0</v>
      </c>
      <c r="D8" s="34" t="s">
        <v>19</v>
      </c>
      <c r="E8" s="35" t="s">
        <v>50</v>
      </c>
      <c r="F8" s="34" t="s">
        <v>105</v>
      </c>
      <c r="G8" s="34" t="s">
        <v>106</v>
      </c>
      <c r="H8" s="36" t="s">
        <v>108</v>
      </c>
      <c r="I8" s="34" t="s">
        <v>110</v>
      </c>
      <c r="J8" s="25"/>
    </row>
    <row r="9">
      <c r="B9" s="25"/>
      <c r="C9" s="34">
        <v>4.0</v>
      </c>
      <c r="D9" s="34" t="s">
        <v>22</v>
      </c>
      <c r="E9" s="35" t="s">
        <v>23</v>
      </c>
      <c r="F9" s="34" t="s">
        <v>105</v>
      </c>
      <c r="G9" s="34" t="s">
        <v>106</v>
      </c>
      <c r="H9" s="36" t="s">
        <v>108</v>
      </c>
      <c r="I9" s="34" t="s">
        <v>110</v>
      </c>
      <c r="J9" s="25"/>
    </row>
    <row r="10">
      <c r="B10" s="25"/>
      <c r="C10" s="34">
        <v>5.0</v>
      </c>
      <c r="D10" s="34" t="s">
        <v>25</v>
      </c>
      <c r="E10" s="35" t="s">
        <v>57</v>
      </c>
      <c r="F10" s="34" t="s">
        <v>105</v>
      </c>
      <c r="G10" s="34" t="s">
        <v>116</v>
      </c>
      <c r="H10" s="38" t="s">
        <v>117</v>
      </c>
      <c r="I10" s="34" t="s">
        <v>116</v>
      </c>
      <c r="J10" s="25"/>
    </row>
    <row r="11">
      <c r="B11" s="25"/>
      <c r="C11" s="34">
        <v>6.0</v>
      </c>
      <c r="D11" s="34" t="s">
        <v>29</v>
      </c>
      <c r="E11" s="35" t="s">
        <v>61</v>
      </c>
      <c r="F11" s="34" t="s">
        <v>105</v>
      </c>
      <c r="G11" s="34" t="s">
        <v>116</v>
      </c>
      <c r="H11" s="38" t="s">
        <v>117</v>
      </c>
      <c r="I11" s="34" t="s">
        <v>116</v>
      </c>
      <c r="J11" s="25"/>
    </row>
    <row r="12">
      <c r="B12" s="25"/>
      <c r="C12" s="34">
        <v>7.0</v>
      </c>
      <c r="D12" s="34" t="s">
        <v>32</v>
      </c>
      <c r="E12" s="35" t="s">
        <v>34</v>
      </c>
      <c r="F12" s="34" t="s">
        <v>105</v>
      </c>
      <c r="G12" s="34" t="s">
        <v>116</v>
      </c>
      <c r="H12" s="38" t="s">
        <v>117</v>
      </c>
      <c r="I12" s="34" t="s">
        <v>116</v>
      </c>
      <c r="J12" s="25"/>
    </row>
    <row r="13">
      <c r="B13" s="25"/>
      <c r="C13" s="34">
        <v>8.0</v>
      </c>
      <c r="D13" s="34" t="s">
        <v>35</v>
      </c>
      <c r="E13" s="35" t="s">
        <v>36</v>
      </c>
      <c r="F13" s="34" t="s">
        <v>105</v>
      </c>
      <c r="G13" s="34" t="s">
        <v>106</v>
      </c>
      <c r="H13" s="36" t="s">
        <v>108</v>
      </c>
      <c r="I13" s="34" t="s">
        <v>110</v>
      </c>
      <c r="J13" s="25"/>
    </row>
    <row r="14">
      <c r="B14" s="25"/>
      <c r="C14" s="34">
        <v>9.0</v>
      </c>
      <c r="D14" s="34" t="s">
        <v>41</v>
      </c>
      <c r="E14" s="35" t="s">
        <v>42</v>
      </c>
      <c r="F14" s="34" t="s">
        <v>105</v>
      </c>
      <c r="G14" s="34" t="s">
        <v>125</v>
      </c>
      <c r="H14" s="38" t="s">
        <v>117</v>
      </c>
      <c r="I14" s="34" t="s">
        <v>116</v>
      </c>
      <c r="J14" s="25"/>
    </row>
    <row r="15">
      <c r="B15" s="25"/>
      <c r="C15" s="34">
        <v>10.0</v>
      </c>
      <c r="D15" s="34" t="s">
        <v>44</v>
      </c>
      <c r="E15" s="35" t="s">
        <v>45</v>
      </c>
      <c r="F15" s="34" t="s">
        <v>105</v>
      </c>
      <c r="G15" s="34" t="s">
        <v>106</v>
      </c>
      <c r="H15" s="36" t="s">
        <v>108</v>
      </c>
      <c r="I15" s="34" t="s">
        <v>110</v>
      </c>
      <c r="J15" s="25"/>
    </row>
    <row r="16">
      <c r="B16" s="25"/>
      <c r="C16" s="34">
        <v>11.0</v>
      </c>
      <c r="D16" s="34" t="s">
        <v>47</v>
      </c>
      <c r="E16" s="35" t="s">
        <v>48</v>
      </c>
      <c r="F16" s="34" t="s">
        <v>105</v>
      </c>
      <c r="G16" s="34" t="s">
        <v>106</v>
      </c>
      <c r="H16" s="36" t="s">
        <v>108</v>
      </c>
      <c r="I16" s="34" t="s">
        <v>110</v>
      </c>
      <c r="J16" s="25"/>
    </row>
    <row r="17">
      <c r="B17" s="25"/>
      <c r="C17" s="34">
        <v>12.0</v>
      </c>
      <c r="D17" s="34" t="s">
        <v>49</v>
      </c>
      <c r="E17" s="35" t="s">
        <v>51</v>
      </c>
      <c r="F17" s="34" t="s">
        <v>131</v>
      </c>
      <c r="G17" s="34" t="s">
        <v>106</v>
      </c>
      <c r="H17" s="47" t="s">
        <v>133</v>
      </c>
      <c r="I17" s="34" t="s">
        <v>110</v>
      </c>
      <c r="J17" s="25"/>
    </row>
    <row r="18">
      <c r="B18" s="25"/>
      <c r="C18" s="25"/>
      <c r="D18" s="25"/>
      <c r="E18" s="25"/>
      <c r="F18" s="25"/>
      <c r="G18" s="25"/>
      <c r="H18" s="25"/>
      <c r="I18" s="25"/>
      <c r="J18" s="25"/>
    </row>
  </sheetData>
  <mergeCells count="1">
    <mergeCell ref="C4:I4"/>
  </mergeCells>
  <drawing r:id="rId1"/>
</worksheet>
</file>